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potencia719-my.sharepoint.com/personal/practicante_potencia_com_co/Documents/ARCHIVOS/TAREA_CCB/data/"/>
    </mc:Choice>
  </mc:AlternateContent>
  <xr:revisionPtr revIDLastSave="170" documentId="11_B2243FF632DC4D38A4D7DD2AFEF3EFCC94CAF278" xr6:coauthVersionLast="47" xr6:coauthVersionMax="47" xr10:uidLastSave="{3F730752-8732-4182-886B-CA0EE140913B}"/>
  <bookViews>
    <workbookView xWindow="-108" yWindow="-108" windowWidth="23256" windowHeight="12456" xr2:uid="{00000000-000D-0000-FFFF-FFFF00000000}"/>
  </bookViews>
  <sheets>
    <sheet name="Proyec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</calcChain>
</file>

<file path=xl/sharedStrings.xml><?xml version="1.0" encoding="utf-8"?>
<sst xmlns="http://schemas.openxmlformats.org/spreadsheetml/2006/main" count="262" uniqueCount="111">
  <si>
    <t>ID</t>
  </si>
  <si>
    <t>nombre_proyecto</t>
  </si>
  <si>
    <t>descripcion</t>
  </si>
  <si>
    <t>multiplicador de empleo</t>
  </si>
  <si>
    <t>multiplicador de producto</t>
  </si>
  <si>
    <t>beneficiarios directos</t>
  </si>
  <si>
    <t>Entidad que impulsa</t>
  </si>
  <si>
    <t>bpin</t>
  </si>
  <si>
    <t>afectacion_patrimonial</t>
  </si>
  <si>
    <t>afectacion_zonas_arqueologicas</t>
  </si>
  <si>
    <t>titularidad_predios</t>
  </si>
  <si>
    <t>norma_urbana</t>
  </si>
  <si>
    <t>servicios_publicos</t>
  </si>
  <si>
    <t>estudios_y_disenos</t>
  </si>
  <si>
    <t>operador_definido</t>
  </si>
  <si>
    <t>plan_mantenimiento</t>
  </si>
  <si>
    <t>consulta_comunidad</t>
  </si>
  <si>
    <t>licencia_construccion</t>
  </si>
  <si>
    <t>licencia_ambiental</t>
  </si>
  <si>
    <t>ocupacion_cauce</t>
  </si>
  <si>
    <t>aprovechamiento_forestal</t>
  </si>
  <si>
    <t>plan_manejo_transito</t>
  </si>
  <si>
    <t>intervencion_espacio_publico</t>
  </si>
  <si>
    <t>fuente_identificada</t>
  </si>
  <si>
    <t>cdp</t>
  </si>
  <si>
    <t>proximos_pasos</t>
  </si>
  <si>
    <t>INVIAS</t>
  </si>
  <si>
    <t>No</t>
  </si>
  <si>
    <t>Sí</t>
  </si>
  <si>
    <t>NA</t>
  </si>
  <si>
    <t>Gestión de licencias ambientales y cierre de negociación predial.</t>
  </si>
  <si>
    <t>Radicar licencia ambiental y estructurar esquema de operación.</t>
  </si>
  <si>
    <t>Finalizar diseños arquitectónicos y radicar licencia de construcción.</t>
  </si>
  <si>
    <t>Firma de contrato con operador y gestión de licencia ambiental.</t>
  </si>
  <si>
    <t>Radicar licencia de construcción y definir plan de mantenimiento.</t>
  </si>
  <si>
    <t>Estructurar plan de operación y radicar licencia ambiental.</t>
  </si>
  <si>
    <t>Gestión de licencias y socialización con la comunidad.</t>
  </si>
  <si>
    <t>Contrato largo plazo dragado canal navegable</t>
  </si>
  <si>
    <t>Doble calzada - Via Barranquilla-Ciénaga (Ruta Sierra Mar)</t>
  </si>
  <si>
    <t>Nuevo aeropuerto Cartagena/Bayunca</t>
  </si>
  <si>
    <t>Saneamiento de la cuenca noroccidental</t>
  </si>
  <si>
    <t>Saneamiento de la zona nororiental de Barranquilla</t>
  </si>
  <si>
    <t>Puente Puerto Giraldo-Salamina (Puente de la Hermandad)</t>
  </si>
  <si>
    <t>Mejoramiento Calle 30 - Soledad</t>
  </si>
  <si>
    <t>Ampliación Calle Murillo-Soledad</t>
  </si>
  <si>
    <t>Fortalecimiento red vial departamental +485 km</t>
  </si>
  <si>
    <t>Infraestructura eléctrica del Caribe (obras para integrar 6 GW)</t>
  </si>
  <si>
    <t>Sistema Integrado de Transporte</t>
  </si>
  <si>
    <t>Reubicación del Zoológico de Barranquilla</t>
  </si>
  <si>
    <t>Infraestructura turística en municipios del Atlántico</t>
  </si>
  <si>
    <t>Demolición de Puente Pumarejo</t>
  </si>
  <si>
    <t>Construcción del Tren Regional del Caribe</t>
  </si>
  <si>
    <t>Interconector Barranquilla – Puerto Colombia (Cra. 65)</t>
  </si>
  <si>
    <t>UF3 y UF4 Ecoparque Ciénaga de Mallorquín</t>
  </si>
  <si>
    <t>Puerto de Aguas Profundas BAQ</t>
  </si>
  <si>
    <t>metodologia</t>
  </si>
  <si>
    <t>A</t>
  </si>
  <si>
    <t>B</t>
  </si>
  <si>
    <t>C</t>
  </si>
  <si>
    <t>Contrato de largo plazo para garantizar la navegabilidad del río Magdalena hasta PIMSA que remplace los contratos anualizados (que suman c. 150 mil millones al año)</t>
  </si>
  <si>
    <t>Construcción de una Doble calzada en la via Palermo-Ye de Cienaga (57.7 km) para mejoramiento vial y reducción de tiempos de viaje (30 minutos)</t>
  </si>
  <si>
    <t>Iniciativa privada para la financiación, diseño, construcción, operación y mantenimiento de un nuevo aeropuerto en Cartagena</t>
  </si>
  <si>
    <t>Interceptación y tratamiento de las aguas residuales que llegan al Arroyo León. Se busca ampliar el sistema de cobertura de aguas residuales de la zona, y preparar al sistema para posterior tratamiento completo (PTAR optimizada)</t>
  </si>
  <si>
    <t xml:space="preserve">construcción de la EBAR Nororiental y el PETAR al igual que el trazado más óptimo para los desarrollos urbanísticos proyectados y en ejecución, así como la expansión de redes </t>
  </si>
  <si>
    <t>Puente de la Hermandad sobre el río Magdalena entre corregimiento de Puerto Giraldo (Atl.) y Municipio de Salamina (Mag.)</t>
  </si>
  <si>
    <t>Mejoramiento de la Calle 30 , mas concretamente el Tramo 6 km entre INEM y Aeropuerto, con ampliación de carriles y mejoramiento de pavimento</t>
  </si>
  <si>
    <t>Obra de recuperación vial centrada en eliminar los puntos críticos de movilidad frente al Centro Comercial Nuestro Atlántico y el sector de Los Manantiales, y forma parte del plan de infraestructura municipal, que busca optimizar la conectividad entre el Portal de Soledad y la Vía Circunvalar</t>
  </si>
  <si>
    <t>Mejoramiento de +485km km lineales en corredores norte, suroriente y suroccidente - A octubre de 2025, se han contratado varios proyectos de mejoramiento, rehabilitación y reconstrucción de vias departamentales (contrato LP - 007-2024 para 70 km por 18mm; LP-0007-2025 para 70 km por 20mm; mejoramiento de 10.35 km en la vía Manatí - Los Campanos - Sabanalarga, etapa 1 - LP-0011-2025 por 72mm, y mejoramiento de 2.3 km del corredor vial Pradomar-Centro Puerto Colombia - LP006-2025 por 26.6mm)</t>
  </si>
  <si>
    <t>El proyecto incluye 15 compensadores síncronos, 4 transformadores del Sistema de Transmisión Nacional (STN), 3 reactores y más de 13 obras del Sistema de Transmisión Regional (STR), con una inversión estimada superior a USD 1.370 millones, orientada a mejorar la estabilidad, reducir la dependencia térmica y disminuir riesgos de desatención de la demanda</t>
  </si>
  <si>
    <t>Ampliación del sistema actual y sustitución progresiva del Sistema Integrado de Transporte Masivo del Distrito de Barranquilla (Transmetro)</t>
  </si>
  <si>
    <t> es una iniciativa de gran envergadura que busca trasladar las instalaciones actuales, limitadas por su ubicación en medio de la ciudad, a un espacio más amplio y campestre para mejorar las condiciones de los animales y la experiencia de los visitantes</t>
  </si>
  <si>
    <t xml:space="preserve">Contempla la realización de varios proyectos, tales como la Plaza Gastronómica y Cultural del Pastel en Pital de Megua, la Plaza Central de Juan de Acosta (11.5mm), el Melcón delBicentenario en Suán (20mm) y el Recinto ferial y megaparque en Sabanalarga (60mm) </t>
  </si>
  <si>
    <t>Demolición de Puente Pumarejo para ampliar el paso de buques de mayor calado por el canal de acceso al puerto, ampliando las posibilidades comerciales del sistema portuario del Atlántico</t>
  </si>
  <si>
    <t>Construcción del Tren Regional del Caribe, proyecto de infraestructura diseñado para conectar los centros urbanos y portuarios más importantes del Caribe: Cartagena, Barranquilla y Santa Marta. Con una longitud de 363 km atravesando más de 25 municipios</t>
  </si>
  <si>
    <t>Construcción de Interconector Barranquilla – Puerto Colombia (Cra. 65) que comunique Ciudad Mallorquín con el norte de Barranquilla para mejorar acceso a más de 100 mil habitantes de la zona</t>
  </si>
  <si>
    <t>Financiar las UF3 y UF4 (Unidades Funcionales) establecidas en el Plan de Recuperación Integral de la Ciénaga de Mallorquín, las cuales incluyen la construcción de senderos peatonales, can- chas deportivas, ciclorrutas y plazas culturales.</t>
  </si>
  <si>
    <t>Construcción de una Zona Portuaria de Aguas Profundas (ZPAP) - Puerto Futuro en inmediaciones de Bocas de Ceniza</t>
  </si>
  <si>
    <t>Cormagdalena</t>
  </si>
  <si>
    <t>APP Ruta Magdalena Sierra Mar</t>
  </si>
  <si>
    <t>ANI (APP IP)</t>
  </si>
  <si>
    <t>Triple A S.A. E.S.P.</t>
  </si>
  <si>
    <t>Distrito de Barranquilla</t>
  </si>
  <si>
    <t>Gobernación del Atlántico</t>
  </si>
  <si>
    <t>Alcaldía de Soledad</t>
  </si>
  <si>
    <t>Nación</t>
  </si>
  <si>
    <t>FINDETER</t>
  </si>
  <si>
    <t>APP (Argos, BAQ, ATL)</t>
  </si>
  <si>
    <t>multiplicador de producto_miles</t>
  </si>
  <si>
    <t>multiplicador de empleo_n</t>
  </si>
  <si>
    <t>1.500.000</t>
  </si>
  <si>
    <t>2.850.000</t>
  </si>
  <si>
    <t>2.250.000</t>
  </si>
  <si>
    <t>2.300.000</t>
  </si>
  <si>
    <t>1.350.000</t>
  </si>
  <si>
    <t>3.210.000</t>
  </si>
  <si>
    <t>88.679</t>
  </si>
  <si>
    <t>215.128</t>
  </si>
  <si>
    <t>11.495</t>
  </si>
  <si>
    <t>8.211</t>
  </si>
  <si>
    <t>12.021</t>
  </si>
  <si>
    <t>2.545</t>
  </si>
  <si>
    <t>7.554</t>
  </si>
  <si>
    <t>164.220</t>
  </si>
  <si>
    <t>22.071</t>
  </si>
  <si>
    <t>4.270</t>
  </si>
  <si>
    <t>3.284</t>
  </si>
  <si>
    <t>3.613</t>
  </si>
  <si>
    <t>188.937</t>
  </si>
  <si>
    <t>1.108</t>
  </si>
  <si>
    <t>25.618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</si>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</sst>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8">
    <xf numFmtId="0" fontId="0" fillId="0" borderId="0" xfId="0"/>
    <xf numFmtId="3" fontId="1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3" fillId="0" borderId="1" xfId="0" applyFont="1" applyBorder="1"/>
    <xf numFmtId="43" fontId="3" fillId="0" borderId="1" xfId="1" applyFont="1" applyBorder="1"/>
    <xf numFmtId="49" fontId="2" fillId="0" borderId="1" xfId="1" applyNumberFormat="1" applyFont="1" applyBorder="1" applyAlignment="1">
      <alignment horizontal="right"/>
    </xf>
    <xf numFmtId="49" fontId="0" fillId="0" borderId="0" xfId="1" applyNumberFormat="1" applyFont="1" applyAlignment="1">
      <alignment horizontal="right"/>
    </xf>
    <xf numFmtId="49" fontId="3" fillId="2" borderId="1" xfId="1" applyNumberFormat="1" applyFont="1" applyFill="1" applyBorder="1" applyAlignment="1">
      <alignment wrapText="1"/>
    </xf>
    <xf numFmtId="49" fontId="3" fillId="3" borderId="1" xfId="1" applyNumberFormat="1" applyFont="1" applyFill="1" applyBorder="1" applyAlignment="1">
      <alignment wrapText="1"/>
    </xf>
    <xf numFmtId="164" fontId="2" fillId="0" borderId="1" xfId="1" applyNumberFormat="1" applyFont="1" applyBorder="1" applyAlignment="1">
      <alignment horizontal="right"/>
    </xf>
    <xf numFmtId="164" fontId="0" fillId="0" borderId="0" xfId="1" applyNumberFormat="1" applyFont="1" applyAlignment="1">
      <alignment horizontal="right"/>
    </xf>
    <xf numFmtId="165" fontId="2" fillId="0" borderId="1" xfId="1" applyNumberFormat="1" applyFont="1" applyBorder="1" applyAlignment="1">
      <alignment horizontal="right"/>
    </xf>
    <xf numFmtId="165" fontId="0" fillId="0" borderId="0" xfId="1" applyNumberFormat="1" applyFont="1" applyAlignment="1">
      <alignment horizontal="right"/>
    </xf>
    <xf numFmtId="43" fontId="2" fillId="0" borderId="1" xfId="1" applyFont="1" applyBorder="1" applyAlignment="1">
      <alignment horizontal="right"/>
    </xf>
    <xf numFmtId="43" fontId="0" fillId="0" borderId="0" xfId="1" applyFont="1" applyAlignment="1">
      <alignment horizontal="right"/>
    </xf>
    <xf numFmtId="49" fontId="3" fillId="0" borderId="1" xfId="0" applyNumberFormat="1" applyFont="1" applyBorder="1"/>
    <xf numFmtId="49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19"/>
  <sheetViews>
    <sheetView tabSelected="1" workbookViewId="0">
      <selection activeCell="C22" sqref="C22"/>
    </sheetView>
  </sheetViews>
  <sheetFormatPr baseColWidth="10" defaultColWidth="8.88671875" defaultRowHeight="14.4" x14ac:dyDescent="0.3"/>
  <cols>
    <col min="1" max="1" width="13.5546875" style="3" bestFit="1" customWidth="1"/>
    <col min="2" max="2" width="15" bestFit="1" customWidth="1"/>
    <col min="3" max="3" width="15" customWidth="1"/>
    <col min="4" max="4" width="15" bestFit="1" customWidth="1"/>
    <col min="5" max="5" width="15" style="17" customWidth="1"/>
    <col min="6" max="6" width="28.5546875" style="13" bestFit="1" customWidth="1"/>
    <col min="7" max="7" width="28.5546875" style="11" customWidth="1"/>
    <col min="8" max="8" width="26.109375" style="15" customWidth="1"/>
    <col min="9" max="9" width="21.21875" style="7" customWidth="1"/>
    <col min="10" max="10" width="13.5546875" bestFit="1" customWidth="1"/>
    <col min="11" max="11" width="13.5546875" style="3" bestFit="1" customWidth="1"/>
    <col min="12" max="29" width="13.5546875" bestFit="1" customWidth="1"/>
  </cols>
  <sheetData>
    <row r="1" spans="1:29" ht="19.5" customHeight="1" x14ac:dyDescent="0.3">
      <c r="A1" s="1" t="s">
        <v>0</v>
      </c>
      <c r="B1" t="s">
        <v>1</v>
      </c>
      <c r="C1" t="s">
        <v>55</v>
      </c>
      <c r="D1" t="s">
        <v>2</v>
      </c>
      <c r="E1" s="6" t="s">
        <v>3</v>
      </c>
      <c r="F1" s="12" t="s">
        <v>88</v>
      </c>
      <c r="G1" s="6" t="s">
        <v>4</v>
      </c>
      <c r="H1" s="14" t="s">
        <v>87</v>
      </c>
      <c r="I1" s="6" t="s">
        <v>5</v>
      </c>
      <c r="J1" t="s">
        <v>6</v>
      </c>
      <c r="K1" s="2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</row>
    <row r="2" spans="1:29" ht="19.5" customHeight="1" x14ac:dyDescent="0.3">
      <c r="A2" s="2">
        <v>1</v>
      </c>
      <c r="B2" s="4" t="s">
        <v>38</v>
      </c>
      <c r="C2" s="4" t="s">
        <v>56</v>
      </c>
      <c r="D2" s="4" t="s">
        <v>60</v>
      </c>
      <c r="E2" s="16" t="s">
        <v>95</v>
      </c>
      <c r="F2" s="12">
        <v>88678.8</v>
      </c>
      <c r="G2" s="10">
        <f t="shared" ref="G2:G18" si="0">H2/1000000000</f>
        <v>1017.9</v>
      </c>
      <c r="H2" s="14">
        <v>1017900000000</v>
      </c>
      <c r="I2" s="9" t="s">
        <v>90</v>
      </c>
      <c r="J2" t="s">
        <v>78</v>
      </c>
      <c r="K2" s="2">
        <v>2548578</v>
      </c>
      <c r="L2" t="s">
        <v>27</v>
      </c>
      <c r="M2" t="s">
        <v>27</v>
      </c>
      <c r="N2" t="s">
        <v>28</v>
      </c>
      <c r="O2" t="s">
        <v>28</v>
      </c>
      <c r="P2" t="s">
        <v>28</v>
      </c>
      <c r="Q2" t="s">
        <v>29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27</v>
      </c>
      <c r="X2" t="s">
        <v>27</v>
      </c>
      <c r="Y2" t="s">
        <v>28</v>
      </c>
      <c r="Z2" t="s">
        <v>27</v>
      </c>
      <c r="AA2" t="s">
        <v>28</v>
      </c>
      <c r="AB2" t="s">
        <v>28</v>
      </c>
      <c r="AC2" t="s">
        <v>31</v>
      </c>
    </row>
    <row r="3" spans="1:29" ht="19.5" customHeight="1" x14ac:dyDescent="0.3">
      <c r="A3" s="2">
        <v>2</v>
      </c>
      <c r="B3" s="4" t="s">
        <v>39</v>
      </c>
      <c r="C3" s="4" t="s">
        <v>56</v>
      </c>
      <c r="D3" s="4" t="s">
        <v>61</v>
      </c>
      <c r="E3" s="16" t="s">
        <v>96</v>
      </c>
      <c r="F3" s="12">
        <v>215128.2</v>
      </c>
      <c r="G3" s="10">
        <f t="shared" si="0"/>
        <v>2469.35</v>
      </c>
      <c r="H3" s="14">
        <v>2469350000000</v>
      </c>
      <c r="I3" s="8" t="s">
        <v>91</v>
      </c>
      <c r="J3" t="s">
        <v>79</v>
      </c>
      <c r="K3" s="2">
        <v>2549001</v>
      </c>
      <c r="L3" t="s">
        <v>27</v>
      </c>
      <c r="M3" t="s">
        <v>27</v>
      </c>
      <c r="N3" t="s">
        <v>28</v>
      </c>
      <c r="O3" t="s">
        <v>28</v>
      </c>
      <c r="P3" t="s">
        <v>28</v>
      </c>
      <c r="Q3" t="s">
        <v>28</v>
      </c>
      <c r="R3" t="s">
        <v>28</v>
      </c>
      <c r="S3" t="s">
        <v>28</v>
      </c>
      <c r="T3" t="s">
        <v>28</v>
      </c>
      <c r="U3" t="s">
        <v>28</v>
      </c>
      <c r="V3" t="s">
        <v>28</v>
      </c>
      <c r="W3" t="s">
        <v>27</v>
      </c>
      <c r="X3" t="s">
        <v>27</v>
      </c>
      <c r="Y3" t="s">
        <v>27</v>
      </c>
      <c r="Z3" t="s">
        <v>28</v>
      </c>
      <c r="AA3" t="s">
        <v>28</v>
      </c>
      <c r="AB3" t="s">
        <v>28</v>
      </c>
      <c r="AC3" t="s">
        <v>32</v>
      </c>
    </row>
    <row r="4" spans="1:29" ht="19.5" customHeight="1" x14ac:dyDescent="0.3">
      <c r="A4" s="2">
        <v>3</v>
      </c>
      <c r="B4" s="4" t="s">
        <v>40</v>
      </c>
      <c r="C4" s="4" t="s">
        <v>56</v>
      </c>
      <c r="D4" s="4" t="s">
        <v>62</v>
      </c>
      <c r="E4" s="16" t="s">
        <v>97</v>
      </c>
      <c r="F4" s="12">
        <v>11495.4</v>
      </c>
      <c r="G4" s="10">
        <f t="shared" si="0"/>
        <v>131.94999999999999</v>
      </c>
      <c r="H4" s="14">
        <v>131950000000</v>
      </c>
      <c r="I4" s="9" t="s">
        <v>90</v>
      </c>
      <c r="J4" t="s">
        <v>80</v>
      </c>
      <c r="K4" s="2">
        <v>2549002</v>
      </c>
      <c r="L4" t="s">
        <v>27</v>
      </c>
      <c r="M4" t="s">
        <v>27</v>
      </c>
      <c r="N4" t="s">
        <v>28</v>
      </c>
      <c r="O4" t="s">
        <v>28</v>
      </c>
      <c r="P4" t="s">
        <v>27</v>
      </c>
      <c r="Q4" t="s">
        <v>28</v>
      </c>
      <c r="R4" t="s">
        <v>28</v>
      </c>
      <c r="S4" t="s">
        <v>28</v>
      </c>
      <c r="T4" t="s">
        <v>28</v>
      </c>
      <c r="U4" t="s">
        <v>27</v>
      </c>
      <c r="V4" t="s">
        <v>28</v>
      </c>
      <c r="W4" t="s">
        <v>27</v>
      </c>
      <c r="X4" t="s">
        <v>28</v>
      </c>
      <c r="Y4" t="s">
        <v>27</v>
      </c>
      <c r="Z4" t="s">
        <v>27</v>
      </c>
      <c r="AA4" t="s">
        <v>28</v>
      </c>
      <c r="AB4" t="s">
        <v>28</v>
      </c>
      <c r="AC4" t="s">
        <v>33</v>
      </c>
    </row>
    <row r="5" spans="1:29" ht="19.5" customHeight="1" x14ac:dyDescent="0.3">
      <c r="A5" s="2">
        <v>4</v>
      </c>
      <c r="B5" s="4" t="s">
        <v>41</v>
      </c>
      <c r="C5" s="4" t="s">
        <v>56</v>
      </c>
      <c r="D5" s="4" t="s">
        <v>63</v>
      </c>
      <c r="E5" s="16" t="s">
        <v>98</v>
      </c>
      <c r="F5" s="12">
        <v>8211</v>
      </c>
      <c r="G5" s="10">
        <f t="shared" si="0"/>
        <v>94.25</v>
      </c>
      <c r="H5" s="14">
        <v>94250000000</v>
      </c>
      <c r="I5" s="8" t="s">
        <v>90</v>
      </c>
      <c r="J5" t="s">
        <v>81</v>
      </c>
      <c r="K5" s="2">
        <v>2549003</v>
      </c>
      <c r="L5" t="s">
        <v>27</v>
      </c>
      <c r="M5" t="s">
        <v>27</v>
      </c>
      <c r="N5" t="s">
        <v>28</v>
      </c>
      <c r="O5" t="s">
        <v>28</v>
      </c>
      <c r="P5" t="s">
        <v>28</v>
      </c>
      <c r="Q5" t="s">
        <v>28</v>
      </c>
      <c r="R5" t="s">
        <v>29</v>
      </c>
      <c r="S5" t="s">
        <v>28</v>
      </c>
      <c r="T5" t="s">
        <v>29</v>
      </c>
      <c r="U5" t="s">
        <v>28</v>
      </c>
      <c r="V5" t="s">
        <v>28</v>
      </c>
      <c r="W5" t="s">
        <v>27</v>
      </c>
      <c r="X5" t="s">
        <v>27</v>
      </c>
      <c r="Y5" t="s">
        <v>27</v>
      </c>
      <c r="Z5" t="s">
        <v>28</v>
      </c>
      <c r="AA5" t="s">
        <v>28</v>
      </c>
      <c r="AB5" t="s">
        <v>28</v>
      </c>
      <c r="AC5" t="s">
        <v>34</v>
      </c>
    </row>
    <row r="6" spans="1:29" ht="19.5" customHeight="1" x14ac:dyDescent="0.3">
      <c r="A6" s="2">
        <v>5</v>
      </c>
      <c r="B6" s="4" t="s">
        <v>42</v>
      </c>
      <c r="C6" s="4" t="s">
        <v>57</v>
      </c>
      <c r="D6" s="4" t="s">
        <v>64</v>
      </c>
      <c r="E6" s="16" t="s">
        <v>99</v>
      </c>
      <c r="F6" s="12">
        <v>12020.904</v>
      </c>
      <c r="G6" s="10">
        <f t="shared" si="0"/>
        <v>137.982</v>
      </c>
      <c r="H6" s="14">
        <v>137982000000</v>
      </c>
      <c r="I6" s="9" t="s">
        <v>91</v>
      </c>
      <c r="J6" t="s">
        <v>82</v>
      </c>
      <c r="K6" s="2">
        <v>2549004</v>
      </c>
      <c r="L6" t="s">
        <v>27</v>
      </c>
      <c r="M6" t="s">
        <v>27</v>
      </c>
      <c r="N6" t="s">
        <v>28</v>
      </c>
      <c r="O6" t="s">
        <v>29</v>
      </c>
      <c r="P6" t="s">
        <v>28</v>
      </c>
      <c r="Q6" t="s">
        <v>28</v>
      </c>
      <c r="R6" t="s">
        <v>28</v>
      </c>
      <c r="S6" t="s">
        <v>28</v>
      </c>
      <c r="T6" t="s">
        <v>28</v>
      </c>
      <c r="U6" t="s">
        <v>28</v>
      </c>
      <c r="V6" t="s">
        <v>28</v>
      </c>
      <c r="W6" t="s">
        <v>28</v>
      </c>
      <c r="X6" t="s">
        <v>27</v>
      </c>
      <c r="Y6" t="s">
        <v>27</v>
      </c>
      <c r="Z6" t="s">
        <v>28</v>
      </c>
      <c r="AA6" t="s">
        <v>28</v>
      </c>
      <c r="AB6" t="s">
        <v>28</v>
      </c>
      <c r="AC6" t="s">
        <v>35</v>
      </c>
    </row>
    <row r="7" spans="1:29" ht="19.5" customHeight="1" x14ac:dyDescent="0.3">
      <c r="A7" s="2">
        <v>6</v>
      </c>
      <c r="B7" s="4" t="s">
        <v>43</v>
      </c>
      <c r="C7" s="4" t="s">
        <v>57</v>
      </c>
      <c r="D7" s="5" t="s">
        <v>65</v>
      </c>
      <c r="E7" s="16" t="s">
        <v>98</v>
      </c>
      <c r="F7" s="12">
        <v>8211</v>
      </c>
      <c r="G7" s="10">
        <f t="shared" si="0"/>
        <v>94.25</v>
      </c>
      <c r="H7" s="14">
        <v>94250000000</v>
      </c>
      <c r="I7" s="8" t="s">
        <v>90</v>
      </c>
      <c r="J7" t="s">
        <v>83</v>
      </c>
      <c r="K7" s="2">
        <v>2549005</v>
      </c>
      <c r="L7" t="s">
        <v>27</v>
      </c>
      <c r="M7" t="s">
        <v>27</v>
      </c>
      <c r="N7" t="s">
        <v>28</v>
      </c>
      <c r="O7" t="s">
        <v>28</v>
      </c>
      <c r="P7" t="s">
        <v>28</v>
      </c>
      <c r="Q7" t="s">
        <v>28</v>
      </c>
      <c r="R7" t="s">
        <v>28</v>
      </c>
      <c r="S7" t="s">
        <v>28</v>
      </c>
      <c r="T7" t="s">
        <v>28</v>
      </c>
      <c r="U7" t="s">
        <v>28</v>
      </c>
      <c r="V7" t="s">
        <v>28</v>
      </c>
      <c r="W7" t="s">
        <v>27</v>
      </c>
      <c r="X7" t="s">
        <v>27</v>
      </c>
      <c r="Y7" t="s">
        <v>27</v>
      </c>
      <c r="Z7" t="s">
        <v>28</v>
      </c>
      <c r="AA7" t="s">
        <v>28</v>
      </c>
      <c r="AB7" t="s">
        <v>28</v>
      </c>
      <c r="AC7" t="s">
        <v>36</v>
      </c>
    </row>
    <row r="8" spans="1:29" x14ac:dyDescent="0.3">
      <c r="A8" s="2">
        <v>7</v>
      </c>
      <c r="B8" s="4" t="s">
        <v>44</v>
      </c>
      <c r="C8" s="4" t="s">
        <v>57</v>
      </c>
      <c r="D8" s="4" t="s">
        <v>66</v>
      </c>
      <c r="E8" s="16" t="s">
        <v>100</v>
      </c>
      <c r="F8" s="13">
        <v>2545.41</v>
      </c>
      <c r="G8" s="10">
        <f t="shared" si="0"/>
        <v>29.217500000000001</v>
      </c>
      <c r="H8" s="15">
        <v>29217500000</v>
      </c>
      <c r="I8" s="9" t="s">
        <v>92</v>
      </c>
      <c r="J8" t="s">
        <v>82</v>
      </c>
    </row>
    <row r="9" spans="1:29" x14ac:dyDescent="0.3">
      <c r="A9" s="2">
        <v>8</v>
      </c>
      <c r="B9" s="4" t="s">
        <v>45</v>
      </c>
      <c r="C9" s="4" t="s">
        <v>57</v>
      </c>
      <c r="D9" s="4" t="s">
        <v>67</v>
      </c>
      <c r="E9" s="16" t="s">
        <v>101</v>
      </c>
      <c r="F9" s="13">
        <v>7554.12</v>
      </c>
      <c r="G9" s="10">
        <f t="shared" si="0"/>
        <v>86.71</v>
      </c>
      <c r="H9" s="15">
        <v>86710000000</v>
      </c>
      <c r="I9" s="8" t="s">
        <v>90</v>
      </c>
      <c r="J9" t="s">
        <v>82</v>
      </c>
    </row>
    <row r="10" spans="1:29" x14ac:dyDescent="0.3">
      <c r="A10" s="2">
        <v>9</v>
      </c>
      <c r="B10" s="4" t="s">
        <v>46</v>
      </c>
      <c r="C10" s="4" t="s">
        <v>57</v>
      </c>
      <c r="D10" s="4" t="s">
        <v>68</v>
      </c>
      <c r="E10" s="16" t="s">
        <v>102</v>
      </c>
      <c r="F10" s="13">
        <v>164220</v>
      </c>
      <c r="G10" s="10">
        <f t="shared" si="0"/>
        <v>1885</v>
      </c>
      <c r="H10" s="15">
        <v>1885000000000</v>
      </c>
      <c r="I10" s="9" t="s">
        <v>90</v>
      </c>
      <c r="J10" t="s">
        <v>84</v>
      </c>
    </row>
    <row r="11" spans="1:29" x14ac:dyDescent="0.3">
      <c r="A11" s="2">
        <v>10</v>
      </c>
      <c r="B11" s="4" t="s">
        <v>47</v>
      </c>
      <c r="C11" s="4" t="s">
        <v>57</v>
      </c>
      <c r="D11" s="4" t="s">
        <v>69</v>
      </c>
      <c r="E11" s="16" t="s">
        <v>103</v>
      </c>
      <c r="F11" s="13">
        <v>22071.168000000001</v>
      </c>
      <c r="G11" s="10">
        <f t="shared" si="0"/>
        <v>253.34399999999999</v>
      </c>
      <c r="H11" s="15">
        <v>253344000000</v>
      </c>
      <c r="I11" s="8" t="s">
        <v>89</v>
      </c>
      <c r="J11" t="s">
        <v>81</v>
      </c>
    </row>
    <row r="12" spans="1:29" x14ac:dyDescent="0.3">
      <c r="A12" s="2">
        <v>11</v>
      </c>
      <c r="B12" s="4" t="s">
        <v>48</v>
      </c>
      <c r="C12" s="4" t="s">
        <v>57</v>
      </c>
      <c r="D12" s="4" t="s">
        <v>70</v>
      </c>
      <c r="E12" s="16" t="s">
        <v>104</v>
      </c>
      <c r="F12" s="13">
        <v>4269.72</v>
      </c>
      <c r="G12" s="10">
        <f t="shared" si="0"/>
        <v>49.01</v>
      </c>
      <c r="H12" s="15">
        <v>49010000000</v>
      </c>
      <c r="I12" s="9" t="s">
        <v>90</v>
      </c>
      <c r="J12" t="s">
        <v>81</v>
      </c>
    </row>
    <row r="13" spans="1:29" x14ac:dyDescent="0.3">
      <c r="A13" s="2">
        <v>12</v>
      </c>
      <c r="B13" s="4" t="s">
        <v>49</v>
      </c>
      <c r="C13" s="4" t="s">
        <v>57</v>
      </c>
      <c r="D13" s="4" t="s">
        <v>71</v>
      </c>
      <c r="E13" s="16" t="s">
        <v>105</v>
      </c>
      <c r="F13" s="13">
        <v>3284.4</v>
      </c>
      <c r="G13" s="10">
        <f t="shared" si="0"/>
        <v>37.700000000000003</v>
      </c>
      <c r="H13" s="15">
        <v>37700000000</v>
      </c>
      <c r="I13" s="8" t="s">
        <v>93</v>
      </c>
      <c r="J13" t="s">
        <v>82</v>
      </c>
    </row>
    <row r="14" spans="1:29" x14ac:dyDescent="0.3">
      <c r="A14" s="2">
        <v>13</v>
      </c>
      <c r="B14" s="4" t="s">
        <v>50</v>
      </c>
      <c r="C14" s="4" t="s">
        <v>58</v>
      </c>
      <c r="D14" s="4" t="s">
        <v>72</v>
      </c>
      <c r="E14" s="16" t="s">
        <v>106</v>
      </c>
      <c r="F14" s="13">
        <v>3612.84</v>
      </c>
      <c r="G14" s="10">
        <f t="shared" si="0"/>
        <v>41.47</v>
      </c>
      <c r="H14" s="15">
        <v>41470000000</v>
      </c>
      <c r="I14" s="9" t="s">
        <v>93</v>
      </c>
      <c r="J14" t="s">
        <v>26</v>
      </c>
    </row>
    <row r="15" spans="1:29" x14ac:dyDescent="0.3">
      <c r="A15" s="2">
        <v>14</v>
      </c>
      <c r="B15" s="4" t="s">
        <v>51</v>
      </c>
      <c r="C15" s="4" t="s">
        <v>58</v>
      </c>
      <c r="D15" s="4" t="s">
        <v>73</v>
      </c>
      <c r="E15" s="16" t="s">
        <v>107</v>
      </c>
      <c r="F15" s="13">
        <v>188937.06140000001</v>
      </c>
      <c r="G15" s="10">
        <f t="shared" si="0"/>
        <v>2168.71</v>
      </c>
      <c r="H15" s="15">
        <v>2168710000000</v>
      </c>
      <c r="I15" s="8" t="s">
        <v>94</v>
      </c>
      <c r="J15" t="s">
        <v>85</v>
      </c>
    </row>
    <row r="16" spans="1:29" x14ac:dyDescent="0.3">
      <c r="A16" s="2">
        <v>15</v>
      </c>
      <c r="B16" s="4" t="s">
        <v>52</v>
      </c>
      <c r="C16" s="4" t="s">
        <v>58</v>
      </c>
      <c r="D16" s="4" t="s">
        <v>74</v>
      </c>
      <c r="E16" s="16" t="s">
        <v>108</v>
      </c>
      <c r="F16" s="13">
        <v>1108.3536240000001</v>
      </c>
      <c r="G16" s="10">
        <f t="shared" si="0"/>
        <v>12.722242</v>
      </c>
      <c r="H16" s="15">
        <v>12722242000</v>
      </c>
      <c r="I16" s="9" t="s">
        <v>90</v>
      </c>
      <c r="J16" t="s">
        <v>86</v>
      </c>
    </row>
    <row r="17" spans="1:29" x14ac:dyDescent="0.3">
      <c r="A17" s="2">
        <v>16</v>
      </c>
      <c r="B17" s="4" t="s">
        <v>54</v>
      </c>
      <c r="C17" s="4" t="s">
        <v>58</v>
      </c>
      <c r="D17" s="4" t="s">
        <v>76</v>
      </c>
      <c r="E17" s="16" t="s">
        <v>109</v>
      </c>
      <c r="F17" s="13">
        <v>25618.32</v>
      </c>
      <c r="G17" s="10">
        <f>H17/1000000000</f>
        <v>294.06</v>
      </c>
      <c r="H17" s="15">
        <v>294060000000</v>
      </c>
      <c r="I17" s="9" t="s">
        <v>91</v>
      </c>
      <c r="J17" t="s">
        <v>81</v>
      </c>
    </row>
    <row r="18" spans="1:29" x14ac:dyDescent="0.3">
      <c r="A18" s="2">
        <v>17</v>
      </c>
      <c r="B18" s="4" t="s">
        <v>53</v>
      </c>
      <c r="C18" s="4" t="s">
        <v>58</v>
      </c>
      <c r="D18" s="4" t="s">
        <v>75</v>
      </c>
      <c r="E18" s="16">
        <v>0</v>
      </c>
      <c r="F18" s="13">
        <v>0</v>
      </c>
      <c r="G18" s="10">
        <f t="shared" si="0"/>
        <v>0</v>
      </c>
      <c r="H18" s="15">
        <v>0</v>
      </c>
      <c r="I18" s="8" t="s">
        <v>90</v>
      </c>
      <c r="J18" t="s">
        <v>81</v>
      </c>
    </row>
    <row r="19" spans="1:29" ht="19.5" customHeight="1" x14ac:dyDescent="0.3">
      <c r="A19" s="2">
        <v>18</v>
      </c>
      <c r="B19" s="4" t="s">
        <v>37</v>
      </c>
      <c r="C19" s="4" t="s">
        <v>56</v>
      </c>
      <c r="D19" s="4" t="s">
        <v>59</v>
      </c>
      <c r="E19" s="16" t="s">
        <v>110</v>
      </c>
      <c r="F19" s="12">
        <v>0</v>
      </c>
      <c r="G19" s="10">
        <v>0</v>
      </c>
      <c r="H19" s="14">
        <v>0</v>
      </c>
      <c r="I19" s="8" t="s">
        <v>110</v>
      </c>
      <c r="J19" t="s">
        <v>77</v>
      </c>
      <c r="K19" s="2">
        <v>2572586</v>
      </c>
      <c r="L19" t="s">
        <v>27</v>
      </c>
      <c r="M19" t="s">
        <v>27</v>
      </c>
      <c r="N19" t="s">
        <v>27</v>
      </c>
      <c r="O19" t="s">
        <v>28</v>
      </c>
      <c r="P19" t="s">
        <v>27</v>
      </c>
      <c r="Q19" t="s">
        <v>28</v>
      </c>
      <c r="R19" t="s">
        <v>28</v>
      </c>
      <c r="S19" t="s">
        <v>29</v>
      </c>
      <c r="T19" t="s">
        <v>28</v>
      </c>
      <c r="U19" t="s">
        <v>27</v>
      </c>
      <c r="V19" t="s">
        <v>27</v>
      </c>
      <c r="W19" t="s">
        <v>28</v>
      </c>
      <c r="X19" t="s">
        <v>27</v>
      </c>
      <c r="Y19" t="s">
        <v>29</v>
      </c>
      <c r="Z19" t="s">
        <v>27</v>
      </c>
      <c r="AA19" t="s">
        <v>28</v>
      </c>
      <c r="AB19" t="s">
        <v>27</v>
      </c>
      <c r="AC19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Proyectos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Daniela Guerra</cp:lastModifiedBy>
  <dcterms:created xsi:type="dcterms:W3CDTF">2026-02-03T16:11:02Z</dcterms:created>
  <dcterms:modified xsi:type="dcterms:W3CDTF">2026-02-04T20:56:05Z</dcterms:modified>
</cp:coreProperties>
</file>